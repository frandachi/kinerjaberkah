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ngawasan/Divisi TI/Kinerja Berkah/"/>
    </mc:Choice>
  </mc:AlternateContent>
  <xr:revisionPtr revIDLastSave="0" documentId="8_{44F0195F-C433-7445-974B-0A99A98BB4E2}" xr6:coauthVersionLast="47" xr6:coauthVersionMax="47" xr10:uidLastSave="{00000000-0000-0000-0000-000000000000}"/>
  <bookViews>
    <workbookView xWindow="0" yWindow="660" windowWidth="30240" windowHeight="18980" xr2:uid="{3757AE88-33CB-4C76-9829-4C2F70E6D38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V4" i="1"/>
  <c r="U4" i="1"/>
  <c r="T4" i="1"/>
  <c r="S4" i="1"/>
  <c r="R4" i="1"/>
  <c r="Q4" i="1"/>
  <c r="P4" i="1"/>
  <c r="O4" i="1"/>
  <c r="N4" i="1"/>
  <c r="M4" i="1"/>
  <c r="J4" i="1"/>
  <c r="I4" i="1"/>
  <c r="L4" i="1"/>
</calcChain>
</file>

<file path=xl/sharedStrings.xml><?xml version="1.0" encoding="utf-8"?>
<sst xmlns="http://schemas.openxmlformats.org/spreadsheetml/2006/main" count="207" uniqueCount="67">
  <si>
    <t>Jabatan</t>
  </si>
  <si>
    <t>Perspektif</t>
  </si>
  <si>
    <t>Indikator Kinerja Utama (Key Performance Indicator)</t>
  </si>
  <si>
    <t>Ukuran</t>
  </si>
  <si>
    <t>Target Tahunan</t>
  </si>
  <si>
    <t>Januari</t>
  </si>
  <si>
    <t>Februari</t>
  </si>
  <si>
    <t>Maret</t>
  </si>
  <si>
    <t>April</t>
  </si>
  <si>
    <t>Mei</t>
  </si>
  <si>
    <t>Juni</t>
  </si>
  <si>
    <t>Juli</t>
  </si>
  <si>
    <t>Realisasi</t>
  </si>
  <si>
    <t>Target</t>
  </si>
  <si>
    <t>Pemimpin Divisi</t>
  </si>
  <si>
    <t>Monitoring KPI Divisi Penyelamatan Kredit periode Januari 2026 - Juli 2026</t>
  </si>
  <si>
    <t>Recovery Performance (WO, Coll. dan Lelang)</t>
  </si>
  <si>
    <t xml:space="preserve">Rasio NPL / NPF Gross
</t>
  </si>
  <si>
    <t>Rp Nilai Kredit Yang Direstrukturisasi</t>
  </si>
  <si>
    <t xml:space="preserve">Recovery Write-Off (WO)
</t>
  </si>
  <si>
    <t xml:space="preserve">Hasil Lelang
</t>
  </si>
  <si>
    <t>Sucesses Rate Restrukturisasi Selama 1 Tahun</t>
  </si>
  <si>
    <t xml:space="preserve">Hasil Penagihan Kredit NPL
</t>
  </si>
  <si>
    <t xml:space="preserve">Realisasi Program Kerja RBB Divisi Sesuai Timeline
</t>
  </si>
  <si>
    <t xml:space="preserve">Penyelesaian Tindak Lanjut Temuan Sesuai Komitmen </t>
  </si>
  <si>
    <t xml:space="preserve">Culture Implementation Index
</t>
  </si>
  <si>
    <t>Digital Skill Index</t>
  </si>
  <si>
    <t>Financial</t>
  </si>
  <si>
    <t>Customer</t>
  </si>
  <si>
    <t>Internal Bisnis Proses</t>
  </si>
  <si>
    <t>Learning &amp; Growth/People</t>
  </si>
  <si>
    <t>Juta Rupiah</t>
  </si>
  <si>
    <t>Percent %</t>
  </si>
  <si>
    <t>Indeks</t>
  </si>
  <si>
    <t xml:space="preserve">&gt;95 % </t>
  </si>
  <si>
    <t>≥ 85%</t>
  </si>
  <si>
    <t>≥ 95%</t>
  </si>
  <si>
    <t>≥ 90</t>
  </si>
  <si>
    <t>≥ 85</t>
  </si>
  <si>
    <t>Bobot (%)</t>
  </si>
  <si>
    <t>Pemimpin Departemen Area 1</t>
  </si>
  <si>
    <t>Recovery WO</t>
  </si>
  <si>
    <t>Collection NPL</t>
  </si>
  <si>
    <t>Hasil Lelang</t>
  </si>
  <si>
    <t>Restrukturisasi</t>
  </si>
  <si>
    <t>Write Off</t>
  </si>
  <si>
    <t>Pemimpin Departemen Area 2</t>
  </si>
  <si>
    <t>Pemimpin Departemen Area 3</t>
  </si>
  <si>
    <t>Pemimpin Departemen Area 4</t>
  </si>
  <si>
    <t>Pemimpin Departemen Rest &amp; Lelang</t>
  </si>
  <si>
    <t>Pelaksanaan Lelang</t>
  </si>
  <si>
    <t>Realisasi Program Kerja RBB Divisi Sesuai Timeline</t>
  </si>
  <si>
    <t>Jumlah</t>
  </si>
  <si>
    <t>Nama</t>
  </si>
  <si>
    <t>NPP</t>
  </si>
  <si>
    <t>Ahmad Fadly</t>
  </si>
  <si>
    <t>1260.14071977.01082005</t>
  </si>
  <si>
    <t>Ernanda Saputra Batubara</t>
  </si>
  <si>
    <t>1295.17041981.01082005</t>
  </si>
  <si>
    <t>Donny Hendrawan Lubis</t>
  </si>
  <si>
    <t>2075.04021985.01062010</t>
  </si>
  <si>
    <t>Jannus P. Siagian</t>
  </si>
  <si>
    <t>1113.06011978.11082004</t>
  </si>
  <si>
    <t>Yunan Irsan Lubis</t>
  </si>
  <si>
    <t>0968.09061971.01081997</t>
  </si>
  <si>
    <t>Fahrizal Fahmy</t>
  </si>
  <si>
    <t>1298.09071976.01082005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</si>
</sst>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1" xfId="0" applyBorder="1"/>
    <xf numFmtId="0" fontId="1" fillId="0" borderId="1" xfId="2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10" fontId="0" fillId="0" borderId="1" xfId="0" applyNumberFormat="1" applyBorder="1" applyAlignment="1">
      <alignment horizontal="center"/>
    </xf>
    <xf numFmtId="10" fontId="0" fillId="0" borderId="1" xfId="1" applyNumberFormat="1" applyFont="1" applyBorder="1"/>
    <xf numFmtId="10" fontId="0" fillId="0" borderId="1" xfId="0" applyNumberFormat="1" applyBorder="1"/>
    <xf numFmtId="9" fontId="0" fillId="0" borderId="1" xfId="0" applyNumberFormat="1" applyBorder="1" applyAlignment="1">
      <alignment horizontal="center"/>
    </xf>
    <xf numFmtId="9" fontId="0" fillId="0" borderId="1" xfId="1" applyFont="1" applyBorder="1"/>
    <xf numFmtId="9" fontId="0" fillId="0" borderId="1" xfId="0" applyNumberFormat="1" applyBorder="1"/>
    <xf numFmtId="10" fontId="0" fillId="0" borderId="1" xfId="1" applyNumberFormat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1" fillId="0" borderId="1" xfId="2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4">
    <cellStyle name="Normal" xfId="0" builtinId="0"/>
    <cellStyle name="Normal 5 2" xfId="2" xr:uid="{32D7985F-2350-4C9C-9551-1CA64C0B26AF}"/>
    <cellStyle name="Per cent" xfId="1" builtinId="5"/>
    <cellStyle name="Percent 3 2" xfId="3" xr:uid="{107798EA-CBDA-464C-89B0-34875C6981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F786-690C-40D0-879D-A5EF6A81C2D8}">
  <dimension ref="A1:V64"/>
  <sheetViews>
    <sheetView tabSelected="1" zoomScaleNormal="100" zoomScaleSheetLayoutView="90" workbookViewId="0">
      <pane ySplit="3" topLeftCell="A4" activePane="bottomLeft" state="frozen"/>
      <selection pane="bottomLeft" activeCell="C16" sqref="C16:C24"/>
    </sheetView>
  </sheetViews>
  <sheetFormatPr baseColWidth="10" defaultColWidth="8.83203125" defaultRowHeight="15" x14ac:dyDescent="0.2"/>
  <cols>
    <col min="1" max="1" width="25.6640625" customWidth="1"/>
    <col min="2" max="2" width="24" customWidth="1"/>
    <col min="3" max="3" width="24.6640625" customWidth="1"/>
    <col min="4" max="4" width="15.6640625" style="1" customWidth="1"/>
    <col min="5" max="5" width="48.5" bestFit="1" customWidth="1"/>
    <col min="6" max="6" width="11" customWidth="1"/>
    <col min="7" max="7" width="8.83203125" style="1" customWidth="1"/>
    <col min="8" max="8" width="13.6640625" style="1" customWidth="1"/>
    <col min="9" max="22" width="8.83203125" style="3"/>
  </cols>
  <sheetData>
    <row r="1" spans="1:22" ht="19" x14ac:dyDescent="0.25">
      <c r="A1" s="20" t="s">
        <v>15</v>
      </c>
      <c r="B1" s="20"/>
      <c r="C1" s="20"/>
      <c r="D1" s="20"/>
      <c r="E1" s="20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2" s="1" customFormat="1" x14ac:dyDescent="0.2">
      <c r="A2" s="19" t="s">
        <v>0</v>
      </c>
      <c r="B2" s="19" t="s">
        <v>53</v>
      </c>
      <c r="C2" s="19" t="s">
        <v>54</v>
      </c>
      <c r="D2" s="19" t="s">
        <v>1</v>
      </c>
      <c r="E2" s="19" t="s">
        <v>2</v>
      </c>
      <c r="F2" s="19" t="s">
        <v>3</v>
      </c>
      <c r="G2" s="19" t="s">
        <v>39</v>
      </c>
      <c r="H2" s="19" t="s">
        <v>4</v>
      </c>
      <c r="I2" s="19" t="s">
        <v>5</v>
      </c>
      <c r="J2" s="19"/>
      <c r="K2" s="19" t="s">
        <v>6</v>
      </c>
      <c r="L2" s="19"/>
      <c r="M2" s="19" t="s">
        <v>7</v>
      </c>
      <c r="N2" s="19"/>
      <c r="O2" s="19" t="s">
        <v>8</v>
      </c>
      <c r="P2" s="19"/>
      <c r="Q2" s="19" t="s">
        <v>9</v>
      </c>
      <c r="R2" s="19"/>
      <c r="S2" s="19" t="s">
        <v>10</v>
      </c>
      <c r="T2" s="19"/>
      <c r="U2" s="19" t="s">
        <v>11</v>
      </c>
      <c r="V2" s="19"/>
    </row>
    <row r="3" spans="1:22" s="1" customFormat="1" x14ac:dyDescent="0.2">
      <c r="A3" s="19"/>
      <c r="B3" s="19"/>
      <c r="C3" s="19"/>
      <c r="D3" s="19"/>
      <c r="E3" s="19"/>
      <c r="F3" s="19"/>
      <c r="G3" s="19"/>
      <c r="H3" s="19"/>
      <c r="I3" s="2" t="s">
        <v>12</v>
      </c>
      <c r="J3" s="2" t="s">
        <v>13</v>
      </c>
      <c r="K3" s="2" t="s">
        <v>12</v>
      </c>
      <c r="L3" s="2" t="s">
        <v>13</v>
      </c>
      <c r="M3" s="2" t="s">
        <v>12</v>
      </c>
      <c r="N3" s="2" t="s">
        <v>13</v>
      </c>
      <c r="O3" s="2" t="s">
        <v>12</v>
      </c>
      <c r="P3" s="2" t="s">
        <v>13</v>
      </c>
      <c r="Q3" s="2" t="s">
        <v>12</v>
      </c>
      <c r="R3" s="2" t="s">
        <v>13</v>
      </c>
      <c r="S3" s="2" t="s">
        <v>12</v>
      </c>
      <c r="T3" s="2" t="s">
        <v>13</v>
      </c>
      <c r="U3" s="2" t="s">
        <v>12</v>
      </c>
      <c r="V3" s="2" t="s">
        <v>13</v>
      </c>
    </row>
    <row r="4" spans="1:22" ht="16" x14ac:dyDescent="0.2">
      <c r="A4" s="21" t="s">
        <v>14</v>
      </c>
      <c r="B4" s="21" t="s">
        <v>55</v>
      </c>
      <c r="C4" s="21" t="s">
        <v>56</v>
      </c>
      <c r="D4" s="5" t="s">
        <v>27</v>
      </c>
      <c r="E4" s="4" t="s">
        <v>16</v>
      </c>
      <c r="F4" s="4" t="s">
        <v>31</v>
      </c>
      <c r="G4" s="6">
        <v>20</v>
      </c>
      <c r="H4" s="7">
        <v>391318</v>
      </c>
      <c r="I4" s="8">
        <f>+I7+I8+I10</f>
        <v>22541.258438099998</v>
      </c>
      <c r="J4" s="8">
        <f>+J7+J8+J10</f>
        <v>23051.339999999997</v>
      </c>
      <c r="K4" s="8">
        <f>+K7+K8+K10</f>
        <v>88307.307624459994</v>
      </c>
      <c r="L4" s="8">
        <f t="shared" ref="L4:V4" si="0">+L7+L8+L10</f>
        <v>47789.921999999991</v>
      </c>
      <c r="M4" s="8">
        <f t="shared" si="0"/>
        <v>105058.53072698999</v>
      </c>
      <c r="N4" s="8">
        <f t="shared" si="0"/>
        <v>73708.810000000012</v>
      </c>
      <c r="O4" s="8">
        <f t="shared" si="0"/>
        <v>123666.68079555</v>
      </c>
      <c r="P4" s="8">
        <f t="shared" si="0"/>
        <v>104372.64</v>
      </c>
      <c r="Q4" s="8">
        <f t="shared" si="0"/>
        <v>147225.63373569003</v>
      </c>
      <c r="R4" s="8">
        <f t="shared" si="0"/>
        <v>139432.86800000002</v>
      </c>
      <c r="S4" s="8">
        <f t="shared" si="0"/>
        <v>172232.68331944998</v>
      </c>
      <c r="T4" s="8">
        <f t="shared" si="0"/>
        <v>177709.18799999997</v>
      </c>
      <c r="U4" s="8">
        <f t="shared" si="0"/>
        <v>203454.12450184004</v>
      </c>
      <c r="V4" s="8">
        <f t="shared" si="0"/>
        <v>212713.93799999999</v>
      </c>
    </row>
    <row r="5" spans="1:22" ht="16" x14ac:dyDescent="0.2">
      <c r="A5" s="22"/>
      <c r="B5" s="22"/>
      <c r="C5" s="22"/>
      <c r="D5" s="5" t="s">
        <v>28</v>
      </c>
      <c r="E5" s="4" t="s">
        <v>17</v>
      </c>
      <c r="F5" s="4" t="s">
        <v>32</v>
      </c>
      <c r="G5" s="6">
        <v>10</v>
      </c>
      <c r="H5" s="9">
        <v>2.7699999999999999E-2</v>
      </c>
      <c r="I5" s="10">
        <v>3.2243357840386844E-2</v>
      </c>
      <c r="J5" s="11">
        <v>2.5017060654481914E-2</v>
      </c>
      <c r="K5" s="11">
        <v>3.178850011703549E-2</v>
      </c>
      <c r="L5" s="11">
        <v>2.4725708023023693E-2</v>
      </c>
      <c r="M5" s="11">
        <v>3.0275919084953955E-2</v>
      </c>
      <c r="N5" s="11">
        <v>3.0417165937076926E-2</v>
      </c>
      <c r="O5" s="11">
        <v>2.9775762416560551E-2</v>
      </c>
      <c r="P5" s="11">
        <v>3.0148793588342989E-2</v>
      </c>
      <c r="Q5" s="11">
        <v>3.0538835090616612E-2</v>
      </c>
      <c r="R5" s="11">
        <v>2.9856155821091201E-2</v>
      </c>
      <c r="S5" s="11">
        <v>3.0521967587602193E-2</v>
      </c>
      <c r="T5" s="11">
        <v>2.9473211588856442E-2</v>
      </c>
      <c r="U5" s="11">
        <v>3.1317718510632961E-2</v>
      </c>
      <c r="V5" s="11">
        <v>2.9377893350241151E-2</v>
      </c>
    </row>
    <row r="6" spans="1:22" x14ac:dyDescent="0.2">
      <c r="A6" s="22"/>
      <c r="B6" s="22"/>
      <c r="C6" s="22"/>
      <c r="D6" s="17" t="s">
        <v>29</v>
      </c>
      <c r="E6" s="4" t="s">
        <v>18</v>
      </c>
      <c r="F6" s="4" t="s">
        <v>31</v>
      </c>
      <c r="G6" s="6">
        <v>10</v>
      </c>
      <c r="H6" s="7">
        <v>90243</v>
      </c>
      <c r="I6" s="8">
        <v>932.35582499999998</v>
      </c>
      <c r="J6" s="8">
        <v>5603.58</v>
      </c>
      <c r="K6" s="8">
        <v>5222.2160260000001</v>
      </c>
      <c r="L6" s="8">
        <v>11563.875000000004</v>
      </c>
      <c r="M6" s="8">
        <v>18391.697638999998</v>
      </c>
      <c r="N6" s="8">
        <v>18489.600000000006</v>
      </c>
      <c r="O6" s="8">
        <v>27278.076951739997</v>
      </c>
      <c r="P6" s="8">
        <v>24743.610000000008</v>
      </c>
      <c r="Q6" s="8">
        <v>37499.479747739999</v>
      </c>
      <c r="R6" s="8">
        <v>31480.335000000014</v>
      </c>
      <c r="S6" s="8">
        <v>44039.353588769998</v>
      </c>
      <c r="T6" s="8">
        <v>38888.775000000009</v>
      </c>
      <c r="U6" s="8">
        <v>55390.114837770008</v>
      </c>
      <c r="V6" s="8">
        <v>46779.930000000015</v>
      </c>
    </row>
    <row r="7" spans="1:22" x14ac:dyDescent="0.2">
      <c r="A7" s="22"/>
      <c r="B7" s="22"/>
      <c r="C7" s="22"/>
      <c r="D7" s="17"/>
      <c r="E7" s="4" t="s">
        <v>19</v>
      </c>
      <c r="F7" s="4" t="s">
        <v>31</v>
      </c>
      <c r="G7" s="6">
        <v>10</v>
      </c>
      <c r="H7" s="7">
        <v>130079</v>
      </c>
      <c r="I7" s="8">
        <v>6727.35950968</v>
      </c>
      <c r="J7" s="8">
        <v>7804.7400000000034</v>
      </c>
      <c r="K7" s="8">
        <v>18781.023084909997</v>
      </c>
      <c r="L7" s="8">
        <v>15999.717000000015</v>
      </c>
      <c r="M7" s="8">
        <v>24102.851512910001</v>
      </c>
      <c r="N7" s="8">
        <v>24715.01000000002</v>
      </c>
      <c r="O7" s="8">
        <v>28322.186005909996</v>
      </c>
      <c r="P7" s="8">
        <v>35121.330000000016</v>
      </c>
      <c r="Q7" s="8">
        <v>36382.068734910004</v>
      </c>
      <c r="R7" s="8">
        <v>47088.598000000042</v>
      </c>
      <c r="S7" s="8">
        <v>42190.530378250005</v>
      </c>
      <c r="T7" s="8">
        <v>60096.498000000029</v>
      </c>
      <c r="U7" s="8">
        <v>48161.25482994</v>
      </c>
      <c r="V7" s="8">
        <v>71803.608000000051</v>
      </c>
    </row>
    <row r="8" spans="1:22" x14ac:dyDescent="0.2">
      <c r="A8" s="22"/>
      <c r="B8" s="22"/>
      <c r="C8" s="22"/>
      <c r="D8" s="17"/>
      <c r="E8" s="4" t="s">
        <v>20</v>
      </c>
      <c r="F8" s="4" t="s">
        <v>31</v>
      </c>
      <c r="G8" s="6">
        <v>10</v>
      </c>
      <c r="H8" s="7">
        <v>42774</v>
      </c>
      <c r="I8" s="8">
        <v>3666.7979519999999</v>
      </c>
      <c r="J8" s="8">
        <v>2138.6999999999994</v>
      </c>
      <c r="K8" s="8">
        <v>5906.2310260000004</v>
      </c>
      <c r="L8" s="8">
        <v>4919.0099999999984</v>
      </c>
      <c r="M8" s="8">
        <v>7395.6287050000001</v>
      </c>
      <c r="N8" s="8">
        <v>7485.4500000000016</v>
      </c>
      <c r="O8" s="8">
        <v>10036.667524</v>
      </c>
      <c r="P8" s="8">
        <v>10265.759999999997</v>
      </c>
      <c r="Q8" s="8">
        <v>12801.752041000002</v>
      </c>
      <c r="R8" s="8">
        <v>13259.940000000004</v>
      </c>
      <c r="S8" s="8">
        <v>15764.259066000001</v>
      </c>
      <c r="T8" s="8">
        <v>16681.860000000008</v>
      </c>
      <c r="U8" s="8">
        <v>22734.115460999998</v>
      </c>
      <c r="V8" s="8">
        <v>20317.650000000001</v>
      </c>
    </row>
    <row r="9" spans="1:22" x14ac:dyDescent="0.2">
      <c r="A9" s="22"/>
      <c r="B9" s="22"/>
      <c r="C9" s="22"/>
      <c r="D9" s="17"/>
      <c r="E9" s="4" t="s">
        <v>21</v>
      </c>
      <c r="F9" s="4" t="s">
        <v>32</v>
      </c>
      <c r="G9" s="6">
        <v>10</v>
      </c>
      <c r="H9" s="6" t="s">
        <v>34</v>
      </c>
      <c r="I9" s="8"/>
      <c r="J9" s="6" t="s">
        <v>34</v>
      </c>
      <c r="K9" s="8"/>
      <c r="L9" s="6" t="s">
        <v>34</v>
      </c>
      <c r="M9" s="8"/>
      <c r="N9" s="6" t="s">
        <v>34</v>
      </c>
      <c r="O9" s="8"/>
      <c r="P9" s="6" t="s">
        <v>34</v>
      </c>
      <c r="Q9" s="8"/>
      <c r="R9" s="6" t="s">
        <v>34</v>
      </c>
      <c r="S9" s="8"/>
      <c r="T9" s="6" t="s">
        <v>34</v>
      </c>
      <c r="U9" s="8"/>
      <c r="V9" s="6" t="s">
        <v>34</v>
      </c>
    </row>
    <row r="10" spans="1:22" x14ac:dyDescent="0.2">
      <c r="A10" s="22"/>
      <c r="B10" s="22"/>
      <c r="C10" s="22"/>
      <c r="D10" s="17"/>
      <c r="E10" s="4" t="s">
        <v>22</v>
      </c>
      <c r="F10" s="4" t="s">
        <v>32</v>
      </c>
      <c r="G10" s="6">
        <v>10</v>
      </c>
      <c r="H10" s="6" t="s">
        <v>35</v>
      </c>
      <c r="I10" s="8">
        <v>12147.100976420001</v>
      </c>
      <c r="J10" s="8">
        <v>13107.899999999992</v>
      </c>
      <c r="K10" s="8">
        <v>63620.053513549996</v>
      </c>
      <c r="L10" s="8">
        <v>26871.194999999974</v>
      </c>
      <c r="M10" s="8">
        <v>73560.05050908</v>
      </c>
      <c r="N10" s="8">
        <v>41508.349999999991</v>
      </c>
      <c r="O10" s="8">
        <v>85307.827265640008</v>
      </c>
      <c r="P10" s="8">
        <v>58985.549999999988</v>
      </c>
      <c r="Q10" s="8">
        <v>98041.812959780014</v>
      </c>
      <c r="R10" s="8">
        <v>79084.329999999958</v>
      </c>
      <c r="S10" s="8">
        <v>114277.89387519998</v>
      </c>
      <c r="T10" s="8">
        <v>100930.82999999993</v>
      </c>
      <c r="U10" s="8">
        <v>132558.75421090002</v>
      </c>
      <c r="V10" s="8">
        <v>120592.67999999993</v>
      </c>
    </row>
    <row r="11" spans="1:22" x14ac:dyDescent="0.2">
      <c r="A11" s="22"/>
      <c r="B11" s="22"/>
      <c r="C11" s="22"/>
      <c r="D11" s="17"/>
      <c r="E11" s="4" t="s">
        <v>23</v>
      </c>
      <c r="F11" s="4" t="s">
        <v>32</v>
      </c>
      <c r="G11" s="6">
        <v>5</v>
      </c>
      <c r="H11" s="6" t="s">
        <v>36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x14ac:dyDescent="0.2">
      <c r="A12" s="22"/>
      <c r="B12" s="22"/>
      <c r="C12" s="22"/>
      <c r="D12" s="17"/>
      <c r="E12" s="4" t="s">
        <v>24</v>
      </c>
      <c r="F12" s="4" t="s">
        <v>32</v>
      </c>
      <c r="G12" s="6">
        <v>5</v>
      </c>
      <c r="H12" s="12">
        <v>1</v>
      </c>
      <c r="I12" s="13">
        <v>1</v>
      </c>
      <c r="J12" s="14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  <c r="P12" s="13">
        <v>1</v>
      </c>
      <c r="Q12" s="13">
        <v>1</v>
      </c>
      <c r="R12" s="13">
        <v>1</v>
      </c>
      <c r="S12" s="13">
        <v>1</v>
      </c>
      <c r="T12" s="13">
        <v>1</v>
      </c>
      <c r="U12" s="13">
        <v>1</v>
      </c>
      <c r="V12" s="13">
        <v>1</v>
      </c>
    </row>
    <row r="13" spans="1:22" x14ac:dyDescent="0.2">
      <c r="A13" s="22"/>
      <c r="B13" s="22"/>
      <c r="C13" s="22"/>
      <c r="D13" s="17" t="s">
        <v>30</v>
      </c>
      <c r="E13" s="4" t="s">
        <v>25</v>
      </c>
      <c r="F13" s="4" t="s">
        <v>33</v>
      </c>
      <c r="G13" s="6">
        <v>5</v>
      </c>
      <c r="H13" s="6" t="s">
        <v>37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x14ac:dyDescent="0.2">
      <c r="A14" s="23"/>
      <c r="B14" s="23"/>
      <c r="C14" s="23"/>
      <c r="D14" s="17"/>
      <c r="E14" s="4" t="s">
        <v>26</v>
      </c>
      <c r="F14" s="4" t="s">
        <v>33</v>
      </c>
      <c r="G14" s="6">
        <v>5</v>
      </c>
      <c r="H14" s="6" t="s">
        <v>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x14ac:dyDescent="0.2">
      <c r="A15" s="4"/>
      <c r="B15" s="4"/>
      <c r="C15" s="4"/>
      <c r="D15" s="6"/>
      <c r="E15" s="4"/>
      <c r="F15" s="4"/>
      <c r="G15" s="6"/>
      <c r="H15" s="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ht="16" x14ac:dyDescent="0.2">
      <c r="A16" s="21" t="s">
        <v>40</v>
      </c>
      <c r="B16" s="21" t="s">
        <v>57</v>
      </c>
      <c r="C16" s="21" t="s">
        <v>58</v>
      </c>
      <c r="D16" s="5" t="s">
        <v>27</v>
      </c>
      <c r="E16" s="4" t="s">
        <v>41</v>
      </c>
      <c r="F16" s="4" t="s">
        <v>31</v>
      </c>
      <c r="G16" s="6">
        <v>15</v>
      </c>
      <c r="H16" s="7">
        <v>19300.182277282307</v>
      </c>
      <c r="I16" s="8">
        <v>3729.84192136</v>
      </c>
      <c r="J16" s="8">
        <v>1158.0109366369377</v>
      </c>
      <c r="K16" s="8">
        <v>5505.8748955899991</v>
      </c>
      <c r="L16" s="8">
        <v>2373.9224201057245</v>
      </c>
      <c r="M16" s="8">
        <v>6976.6081855900011</v>
      </c>
      <c r="N16" s="8">
        <v>3667.0346326836398</v>
      </c>
      <c r="O16" s="8">
        <v>7711.9717795899996</v>
      </c>
      <c r="P16" s="8">
        <v>5211.0492148662115</v>
      </c>
      <c r="Q16" s="8">
        <v>10427.31301059</v>
      </c>
      <c r="R16" s="8">
        <v>6986.6659843761954</v>
      </c>
      <c r="S16" s="8">
        <v>11233.83640659</v>
      </c>
      <c r="T16" s="8">
        <v>8916.6842121044137</v>
      </c>
      <c r="U16" s="8">
        <v>12468.072303750001</v>
      </c>
      <c r="V16" s="8">
        <v>10653.700617059838</v>
      </c>
    </row>
    <row r="17" spans="1:22" ht="16" x14ac:dyDescent="0.2">
      <c r="A17" s="22"/>
      <c r="B17" s="22"/>
      <c r="C17" s="22"/>
      <c r="D17" s="5" t="s">
        <v>28</v>
      </c>
      <c r="E17" s="4" t="s">
        <v>17</v>
      </c>
      <c r="F17" s="4" t="s">
        <v>32</v>
      </c>
      <c r="G17" s="6">
        <v>20</v>
      </c>
      <c r="H17" s="9">
        <v>5.394167952028274E-2</v>
      </c>
      <c r="I17" s="10">
        <v>5.9301246441186783E-2</v>
      </c>
      <c r="J17" s="11">
        <v>2.8703495680355798E-2</v>
      </c>
      <c r="K17" s="11">
        <v>5.6382606432408028E-2</v>
      </c>
      <c r="L17" s="11">
        <v>2.8387509367165043E-2</v>
      </c>
      <c r="M17" s="11">
        <v>5.5603488419670839E-2</v>
      </c>
      <c r="N17" s="11">
        <v>5.7325433385986807E-2</v>
      </c>
      <c r="O17" s="11">
        <v>5.4564675557639261E-2</v>
      </c>
      <c r="P17" s="11">
        <v>5.6937259723376904E-2</v>
      </c>
      <c r="Q17" s="11">
        <v>5.1607513651490008E-2</v>
      </c>
      <c r="R17" s="11">
        <v>5.651770778214419E-2</v>
      </c>
      <c r="S17" s="11">
        <v>5.1054053919548245E-2</v>
      </c>
      <c r="T17" s="11">
        <v>5.6076042630752554E-2</v>
      </c>
      <c r="U17" s="11">
        <v>5.2466532500651988E-2</v>
      </c>
      <c r="V17" s="11">
        <v>5.6059926325064596E-2</v>
      </c>
    </row>
    <row r="18" spans="1:22" ht="14.5" customHeight="1" x14ac:dyDescent="0.2">
      <c r="A18" s="22"/>
      <c r="B18" s="22"/>
      <c r="C18" s="22"/>
      <c r="D18" s="17" t="s">
        <v>29</v>
      </c>
      <c r="E18" s="4" t="s">
        <v>42</v>
      </c>
      <c r="F18" s="4" t="s">
        <v>31</v>
      </c>
      <c r="G18" s="6">
        <v>20</v>
      </c>
      <c r="H18" s="7">
        <v>46998.730285838021</v>
      </c>
      <c r="I18" s="8">
        <v>1996.8841932900002</v>
      </c>
      <c r="J18" s="8">
        <v>2874.9521421517088</v>
      </c>
      <c r="K18" s="8">
        <v>11159.824430290002</v>
      </c>
      <c r="L18" s="8">
        <v>5893.651891410992</v>
      </c>
      <c r="M18" s="8">
        <v>14409.134861460001</v>
      </c>
      <c r="N18" s="8">
        <v>9104.0151168137563</v>
      </c>
      <c r="O18" s="8">
        <v>18478.85684896</v>
      </c>
      <c r="P18" s="8">
        <v>12689.657177176277</v>
      </c>
      <c r="Q18" s="8">
        <v>22194.89160567</v>
      </c>
      <c r="R18" s="8">
        <v>17013.540363473359</v>
      </c>
      <c r="S18" s="8">
        <v>27628.648292099999</v>
      </c>
      <c r="T18" s="8">
        <v>21713.413392057166</v>
      </c>
      <c r="U18" s="8">
        <v>31115.872354880001</v>
      </c>
      <c r="V18" s="8">
        <v>25943.299117782586</v>
      </c>
    </row>
    <row r="19" spans="1:22" x14ac:dyDescent="0.2">
      <c r="A19" s="22"/>
      <c r="B19" s="22"/>
      <c r="C19" s="22"/>
      <c r="D19" s="17"/>
      <c r="E19" s="4" t="s">
        <v>43</v>
      </c>
      <c r="F19" s="4" t="s">
        <v>31</v>
      </c>
      <c r="G19" s="6">
        <v>20</v>
      </c>
      <c r="H19" s="7">
        <v>10802.733036042448</v>
      </c>
      <c r="I19" s="8">
        <v>2469.8900720000001</v>
      </c>
      <c r="J19" s="8">
        <v>507.3645550653435</v>
      </c>
      <c r="K19" s="8">
        <v>3303.2901920000004</v>
      </c>
      <c r="L19" s="8">
        <v>1166.9384766502901</v>
      </c>
      <c r="M19" s="8">
        <v>4280.3747000000003</v>
      </c>
      <c r="N19" s="8">
        <v>1890.4782813074273</v>
      </c>
      <c r="O19" s="8">
        <v>5014.0214970000006</v>
      </c>
      <c r="P19" s="8">
        <v>2592.6559286501874</v>
      </c>
      <c r="Q19" s="8">
        <v>5554.5214970000006</v>
      </c>
      <c r="R19" s="8">
        <v>3348.8472411731573</v>
      </c>
      <c r="S19" s="8">
        <v>6504.8415059999998</v>
      </c>
      <c r="T19" s="8">
        <v>4213.0658840565557</v>
      </c>
      <c r="U19" s="8">
        <v>7636.4510019999998</v>
      </c>
      <c r="V19" s="8">
        <v>5131.2981921201554</v>
      </c>
    </row>
    <row r="20" spans="1:22" x14ac:dyDescent="0.2">
      <c r="A20" s="22"/>
      <c r="B20" s="22"/>
      <c r="C20" s="22"/>
      <c r="D20" s="17"/>
      <c r="E20" s="4" t="s">
        <v>44</v>
      </c>
      <c r="F20" s="4" t="s">
        <v>31</v>
      </c>
      <c r="G20" s="6">
        <v>5</v>
      </c>
      <c r="H20" s="7">
        <v>12624.906835707359</v>
      </c>
      <c r="I20" s="8">
        <v>0</v>
      </c>
      <c r="J20" s="8">
        <v>786.27993904209097</v>
      </c>
      <c r="K20" s="8">
        <v>38.668830999999997</v>
      </c>
      <c r="L20" s="8">
        <v>1622.2029392315071</v>
      </c>
      <c r="M20" s="8">
        <v>38.668830999999997</v>
      </c>
      <c r="N20" s="8">
        <v>2585.5558638374641</v>
      </c>
      <c r="O20" s="8">
        <v>136.52937599999998</v>
      </c>
      <c r="P20" s="8">
        <v>3460.6458428089795</v>
      </c>
      <c r="Q20" s="8">
        <v>723.08976899999993</v>
      </c>
      <c r="R20" s="8">
        <v>4403.1871057230328</v>
      </c>
      <c r="S20" s="8">
        <v>903.31736999999998</v>
      </c>
      <c r="T20" s="8">
        <v>5439.1401511636168</v>
      </c>
      <c r="U20" s="8">
        <v>1078.305276</v>
      </c>
      <c r="V20" s="8">
        <v>6542.5444805467387</v>
      </c>
    </row>
    <row r="21" spans="1:22" x14ac:dyDescent="0.2">
      <c r="A21" s="22"/>
      <c r="B21" s="22"/>
      <c r="C21" s="22"/>
      <c r="D21" s="17"/>
      <c r="E21" s="4" t="s">
        <v>45</v>
      </c>
      <c r="F21" s="4" t="s">
        <v>31</v>
      </c>
      <c r="G21" s="6">
        <v>5</v>
      </c>
      <c r="H21" s="7">
        <v>28884.513183007122</v>
      </c>
      <c r="I21" s="8">
        <v>351.65903800000001</v>
      </c>
      <c r="J21" s="8">
        <v>585.60626353676537</v>
      </c>
      <c r="K21" s="8">
        <v>13513.313478470001</v>
      </c>
      <c r="L21" s="8">
        <v>1464.0156588419122</v>
      </c>
      <c r="M21" s="8">
        <v>13945.374885470001</v>
      </c>
      <c r="N21" s="8">
        <v>4641.7821342935913</v>
      </c>
      <c r="O21" s="8">
        <v>20151.256551729999</v>
      </c>
      <c r="P21" s="8">
        <v>6069.1244392668996</v>
      </c>
      <c r="Q21" s="8">
        <v>20406.765909869999</v>
      </c>
      <c r="R21" s="8">
        <v>7781.9352052348841</v>
      </c>
      <c r="S21" s="8">
        <v>21134.171491870005</v>
      </c>
      <c r="T21" s="8">
        <v>11288.596837220639</v>
      </c>
      <c r="U21" s="8">
        <v>21406.327418869998</v>
      </c>
      <c r="V21" s="8">
        <v>13286.876064183281</v>
      </c>
    </row>
    <row r="22" spans="1:22" x14ac:dyDescent="0.2">
      <c r="A22" s="22"/>
      <c r="B22" s="22"/>
      <c r="C22" s="22"/>
      <c r="D22" s="17"/>
      <c r="E22" s="4" t="s">
        <v>24</v>
      </c>
      <c r="F22" s="4" t="s">
        <v>32</v>
      </c>
      <c r="G22" s="6">
        <v>5</v>
      </c>
      <c r="H22" s="12">
        <v>1</v>
      </c>
      <c r="I22" s="13">
        <v>1</v>
      </c>
      <c r="J22" s="14">
        <v>1</v>
      </c>
      <c r="K22" s="13">
        <v>1</v>
      </c>
      <c r="L22" s="13">
        <v>1</v>
      </c>
      <c r="M22" s="13">
        <v>1</v>
      </c>
      <c r="N22" s="13">
        <v>1</v>
      </c>
      <c r="O22" s="13">
        <v>1</v>
      </c>
      <c r="P22" s="13">
        <v>1</v>
      </c>
      <c r="Q22" s="13">
        <v>1</v>
      </c>
      <c r="R22" s="13">
        <v>1</v>
      </c>
      <c r="S22" s="13">
        <v>1</v>
      </c>
      <c r="T22" s="13">
        <v>1</v>
      </c>
      <c r="U22" s="13">
        <v>1</v>
      </c>
      <c r="V22" s="13">
        <v>1</v>
      </c>
    </row>
    <row r="23" spans="1:22" ht="14.5" customHeight="1" x14ac:dyDescent="0.2">
      <c r="A23" s="22"/>
      <c r="B23" s="22"/>
      <c r="C23" s="22"/>
      <c r="D23" s="17" t="s">
        <v>30</v>
      </c>
      <c r="E23" s="4" t="s">
        <v>25</v>
      </c>
      <c r="F23" s="4" t="s">
        <v>33</v>
      </c>
      <c r="G23" s="6">
        <v>5</v>
      </c>
      <c r="H23" s="6" t="s">
        <v>37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x14ac:dyDescent="0.2">
      <c r="A24" s="22"/>
      <c r="B24" s="22"/>
      <c r="C24" s="22"/>
      <c r="D24" s="17"/>
      <c r="E24" s="4" t="s">
        <v>26</v>
      </c>
      <c r="F24" s="4" t="s">
        <v>33</v>
      </c>
      <c r="G24" s="6">
        <v>5</v>
      </c>
      <c r="H24" s="6" t="s">
        <v>38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x14ac:dyDescent="0.2">
      <c r="A25" s="4"/>
      <c r="B25" s="4"/>
      <c r="C25" s="4"/>
      <c r="D25" s="6"/>
      <c r="E25" s="4"/>
      <c r="F25" s="4"/>
      <c r="G25" s="6"/>
      <c r="H25" s="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ht="16" x14ac:dyDescent="0.2">
      <c r="A26" s="21" t="s">
        <v>46</v>
      </c>
      <c r="B26" s="21" t="s">
        <v>59</v>
      </c>
      <c r="C26" s="21" t="s">
        <v>60</v>
      </c>
      <c r="D26" s="5" t="s">
        <v>27</v>
      </c>
      <c r="E26" s="4" t="s">
        <v>41</v>
      </c>
      <c r="F26" s="4" t="s">
        <v>31</v>
      </c>
      <c r="G26" s="6">
        <v>15</v>
      </c>
      <c r="H26" s="7">
        <v>66164.498010482348</v>
      </c>
      <c r="I26" s="8">
        <v>1562.82624932</v>
      </c>
      <c r="J26" s="8">
        <v>3969.8698806289394</v>
      </c>
      <c r="K26" s="8">
        <v>4252.5789303199999</v>
      </c>
      <c r="L26" s="8">
        <v>8138.2332552893304</v>
      </c>
      <c r="M26" s="8">
        <v>5366.7440953199994</v>
      </c>
      <c r="N26" s="8">
        <v>12571.254621991642</v>
      </c>
      <c r="O26" s="8">
        <v>6277.9797323199991</v>
      </c>
      <c r="P26" s="8">
        <v>17864.414462830231</v>
      </c>
      <c r="Q26" s="8">
        <v>7785.6093483200002</v>
      </c>
      <c r="R26" s="8">
        <v>23951.54827979461</v>
      </c>
      <c r="S26" s="8">
        <v>9755.4374106600008</v>
      </c>
      <c r="T26" s="8">
        <v>30567.998080842841</v>
      </c>
      <c r="U26" s="8">
        <v>12139.946399190001</v>
      </c>
      <c r="V26" s="8">
        <v>36522.802901786243</v>
      </c>
    </row>
    <row r="27" spans="1:22" ht="16" x14ac:dyDescent="0.2">
      <c r="A27" s="22"/>
      <c r="B27" s="22"/>
      <c r="C27" s="22"/>
      <c r="D27" s="5" t="s">
        <v>28</v>
      </c>
      <c r="E27" s="4" t="s">
        <v>17</v>
      </c>
      <c r="F27" s="4" t="s">
        <v>32</v>
      </c>
      <c r="G27" s="6">
        <v>20</v>
      </c>
      <c r="H27" s="9">
        <v>2.9877171681530694E-2</v>
      </c>
      <c r="I27" s="10">
        <v>3.4463377749683603E-2</v>
      </c>
      <c r="J27" s="11">
        <v>3.2668317733088328E-2</v>
      </c>
      <c r="K27" s="11">
        <v>3.7892128129334325E-2</v>
      </c>
      <c r="L27" s="11">
        <v>3.2258858270955919E-2</v>
      </c>
      <c r="M27" s="11">
        <v>3.6115379333027525E-2</v>
      </c>
      <c r="N27" s="11">
        <v>3.3563587992096751E-2</v>
      </c>
      <c r="O27" s="11">
        <v>3.6047511043474839E-2</v>
      </c>
      <c r="P27" s="11">
        <v>3.3215317526563121E-2</v>
      </c>
      <c r="Q27" s="11">
        <v>3.7163172790892027E-2</v>
      </c>
      <c r="R27" s="11">
        <v>3.2832410066707424E-2</v>
      </c>
      <c r="S27" s="11">
        <v>3.7370884894600824E-2</v>
      </c>
      <c r="T27" s="11">
        <v>3.2307388439783487E-2</v>
      </c>
      <c r="U27" s="11">
        <v>3.7566561000802828E-2</v>
      </c>
      <c r="V27" s="11">
        <v>3.2132370546351492E-2</v>
      </c>
    </row>
    <row r="28" spans="1:22" x14ac:dyDescent="0.2">
      <c r="A28" s="22"/>
      <c r="B28" s="22"/>
      <c r="C28" s="22"/>
      <c r="D28" s="17" t="s">
        <v>29</v>
      </c>
      <c r="E28" s="4" t="s">
        <v>42</v>
      </c>
      <c r="F28" s="4" t="s">
        <v>31</v>
      </c>
      <c r="G28" s="6">
        <v>25</v>
      </c>
      <c r="H28" s="7">
        <v>75644.414466210859</v>
      </c>
      <c r="I28" s="8">
        <v>3468.0981928499996</v>
      </c>
      <c r="J28" s="8">
        <v>4437.6184738490438</v>
      </c>
      <c r="K28" s="8">
        <v>18338.576586029998</v>
      </c>
      <c r="L28" s="8">
        <v>9097.1178713905447</v>
      </c>
      <c r="M28" s="8">
        <v>20813.451045960002</v>
      </c>
      <c r="N28" s="8">
        <v>14052.458500521972</v>
      </c>
      <c r="O28" s="8">
        <v>23574.513659960001</v>
      </c>
      <c r="P28" s="8">
        <v>20423.991905876934</v>
      </c>
      <c r="Q28" s="8">
        <v>26896.467980460002</v>
      </c>
      <c r="R28" s="8">
        <v>27383.278036768341</v>
      </c>
      <c r="S28" s="8">
        <v>32328.89694359</v>
      </c>
      <c r="T28" s="8">
        <v>34947.71948338941</v>
      </c>
      <c r="U28" s="8">
        <v>38794.09826228</v>
      </c>
      <c r="V28" s="8">
        <v>41755.716785348384</v>
      </c>
    </row>
    <row r="29" spans="1:22" x14ac:dyDescent="0.2">
      <c r="A29" s="22"/>
      <c r="B29" s="22"/>
      <c r="C29" s="22"/>
      <c r="D29" s="17"/>
      <c r="E29" s="4" t="s">
        <v>43</v>
      </c>
      <c r="F29" s="4" t="s">
        <v>31</v>
      </c>
      <c r="G29" s="6">
        <v>10</v>
      </c>
      <c r="H29" s="7">
        <v>15763.103939574105</v>
      </c>
      <c r="I29" s="8">
        <v>564.89785499999994</v>
      </c>
      <c r="J29" s="8">
        <v>801.63376228299762</v>
      </c>
      <c r="K29" s="8">
        <v>672.38285499999995</v>
      </c>
      <c r="L29" s="8">
        <v>1843.7576532508931</v>
      </c>
      <c r="M29" s="8">
        <v>740.33349600000008</v>
      </c>
      <c r="N29" s="8">
        <v>2758.5431894254662</v>
      </c>
      <c r="O29" s="8">
        <v>2122.018039</v>
      </c>
      <c r="P29" s="8">
        <v>3783.1449454977765</v>
      </c>
      <c r="Q29" s="8">
        <v>2680.8687649999997</v>
      </c>
      <c r="R29" s="8">
        <v>4886.5622212679709</v>
      </c>
      <c r="S29" s="8">
        <v>3766.9476450000006</v>
      </c>
      <c r="T29" s="8">
        <v>6147.6105364338973</v>
      </c>
      <c r="U29" s="8">
        <v>8990.620144999999</v>
      </c>
      <c r="V29" s="8">
        <v>7487.4743712976897</v>
      </c>
    </row>
    <row r="30" spans="1:22" x14ac:dyDescent="0.2">
      <c r="A30" s="22"/>
      <c r="B30" s="22"/>
      <c r="C30" s="22"/>
      <c r="D30" s="17"/>
      <c r="E30" s="4" t="s">
        <v>44</v>
      </c>
      <c r="F30" s="4" t="s">
        <v>31</v>
      </c>
      <c r="G30" s="6">
        <v>10</v>
      </c>
      <c r="H30" s="7">
        <v>28355.268392597667</v>
      </c>
      <c r="I30" s="8">
        <v>783.28225099999997</v>
      </c>
      <c r="J30" s="8">
        <v>1748.7170829084355</v>
      </c>
      <c r="K30" s="8">
        <v>2532.3875779999998</v>
      </c>
      <c r="L30" s="8">
        <v>3605.2323258721676</v>
      </c>
      <c r="M30" s="8">
        <v>4283.9794080000001</v>
      </c>
      <c r="N30" s="8">
        <v>5828.6670287337847</v>
      </c>
      <c r="O30" s="8">
        <v>7258.4813597399989</v>
      </c>
      <c r="P30" s="8">
        <v>7791.0196233278675</v>
      </c>
      <c r="Q30" s="8">
        <v>8156.7442807399993</v>
      </c>
      <c r="R30" s="8">
        <v>9906.4066563288252</v>
      </c>
      <c r="S30" s="8">
        <v>9148.8481711899967</v>
      </c>
      <c r="T30" s="8">
        <v>12242.376706399884</v>
      </c>
      <c r="U30" s="8">
        <v>12501.262021189999</v>
      </c>
      <c r="V30" s="8">
        <v>14731.381194877798</v>
      </c>
    </row>
    <row r="31" spans="1:22" x14ac:dyDescent="0.2">
      <c r="A31" s="22"/>
      <c r="B31" s="22"/>
      <c r="C31" s="22"/>
      <c r="D31" s="17"/>
      <c r="E31" s="4" t="s">
        <v>45</v>
      </c>
      <c r="F31" s="4" t="s">
        <v>31</v>
      </c>
      <c r="G31" s="6">
        <v>5</v>
      </c>
      <c r="H31" s="7">
        <v>48459.28121825667</v>
      </c>
      <c r="I31" s="8">
        <v>485.89117099999999</v>
      </c>
      <c r="J31" s="8">
        <v>779.00621187757076</v>
      </c>
      <c r="K31" s="8">
        <v>15155.79406686</v>
      </c>
      <c r="L31" s="8">
        <v>1947.5155296939274</v>
      </c>
      <c r="M31" s="8">
        <v>17864.793513910001</v>
      </c>
      <c r="N31" s="8">
        <v>8384.4971699236812</v>
      </c>
      <c r="O31" s="8">
        <v>28322.589764130003</v>
      </c>
      <c r="P31" s="8">
        <v>10281.617751667674</v>
      </c>
      <c r="Q31" s="8">
        <v>28877.182811020004</v>
      </c>
      <c r="R31" s="8">
        <v>12558.162449760466</v>
      </c>
      <c r="S31" s="8">
        <v>29184.442853020006</v>
      </c>
      <c r="T31" s="8">
        <v>19635.300545956488</v>
      </c>
      <c r="U31" s="8">
        <v>29770.630925020003</v>
      </c>
      <c r="V31" s="8">
        <v>22291.269360398092</v>
      </c>
    </row>
    <row r="32" spans="1:22" x14ac:dyDescent="0.2">
      <c r="A32" s="22"/>
      <c r="B32" s="22"/>
      <c r="C32" s="22"/>
      <c r="D32" s="17"/>
      <c r="E32" s="4" t="s">
        <v>24</v>
      </c>
      <c r="F32" s="4" t="s">
        <v>32</v>
      </c>
      <c r="G32" s="6">
        <v>5</v>
      </c>
      <c r="H32" s="12">
        <v>1</v>
      </c>
      <c r="I32" s="13">
        <v>1</v>
      </c>
      <c r="J32" s="14">
        <v>1</v>
      </c>
      <c r="K32" s="13">
        <v>1</v>
      </c>
      <c r="L32" s="13">
        <v>1</v>
      </c>
      <c r="M32" s="13">
        <v>1</v>
      </c>
      <c r="N32" s="13">
        <v>1</v>
      </c>
      <c r="O32" s="13">
        <v>1</v>
      </c>
      <c r="P32" s="13">
        <v>1</v>
      </c>
      <c r="Q32" s="13">
        <v>1</v>
      </c>
      <c r="R32" s="13">
        <v>1</v>
      </c>
      <c r="S32" s="13">
        <v>1</v>
      </c>
      <c r="T32" s="13">
        <v>1</v>
      </c>
      <c r="U32" s="13">
        <v>1</v>
      </c>
      <c r="V32" s="13">
        <v>1</v>
      </c>
    </row>
    <row r="33" spans="1:22" x14ac:dyDescent="0.2">
      <c r="A33" s="22"/>
      <c r="B33" s="22"/>
      <c r="C33" s="22"/>
      <c r="D33" s="17" t="s">
        <v>30</v>
      </c>
      <c r="E33" s="4" t="s">
        <v>25</v>
      </c>
      <c r="F33" s="4" t="s">
        <v>33</v>
      </c>
      <c r="G33" s="6">
        <v>5</v>
      </c>
      <c r="H33" s="6" t="s">
        <v>37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x14ac:dyDescent="0.2">
      <c r="A34" s="22"/>
      <c r="B34" s="22"/>
      <c r="C34" s="22"/>
      <c r="D34" s="17"/>
      <c r="E34" s="4" t="s">
        <v>26</v>
      </c>
      <c r="F34" s="4" t="s">
        <v>33</v>
      </c>
      <c r="G34" s="6">
        <v>5</v>
      </c>
      <c r="H34" s="6" t="s">
        <v>38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x14ac:dyDescent="0.2">
      <c r="A35" s="4"/>
      <c r="B35" s="4"/>
      <c r="C35" s="4"/>
      <c r="D35" s="6"/>
      <c r="E35" s="4"/>
      <c r="F35" s="4"/>
      <c r="G35" s="6"/>
      <c r="H35" s="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ht="16" x14ac:dyDescent="0.2">
      <c r="A36" s="21" t="s">
        <v>47</v>
      </c>
      <c r="B36" s="21" t="s">
        <v>61</v>
      </c>
      <c r="C36" s="21" t="s">
        <v>62</v>
      </c>
      <c r="D36" s="5" t="s">
        <v>27</v>
      </c>
      <c r="E36" s="4" t="s">
        <v>41</v>
      </c>
      <c r="F36" s="4" t="s">
        <v>31</v>
      </c>
      <c r="G36" s="6">
        <v>20</v>
      </c>
      <c r="H36" s="7">
        <v>31219.935286847347</v>
      </c>
      <c r="I36" s="8">
        <v>1010.492364</v>
      </c>
      <c r="J36" s="8">
        <v>1873.1961172108408</v>
      </c>
      <c r="K36" s="8">
        <v>3880.888915</v>
      </c>
      <c r="L36" s="8">
        <v>3840.0520402822249</v>
      </c>
      <c r="M36" s="8">
        <v>5399.3460529999993</v>
      </c>
      <c r="N36" s="8">
        <v>5931.7877045009982</v>
      </c>
      <c r="O36" s="8">
        <v>7172.9561139999987</v>
      </c>
      <c r="P36" s="8">
        <v>8429.3825274487845</v>
      </c>
      <c r="Q36" s="8">
        <v>9020.3050810000004</v>
      </c>
      <c r="R36" s="8">
        <v>11301.61657383875</v>
      </c>
      <c r="S36" s="8">
        <v>10572.521698</v>
      </c>
      <c r="T36" s="8">
        <v>14423.610102523482</v>
      </c>
      <c r="U36" s="8">
        <v>11892.610256999998</v>
      </c>
      <c r="V36" s="8">
        <v>17233.404278339734</v>
      </c>
    </row>
    <row r="37" spans="1:22" ht="16" x14ac:dyDescent="0.2">
      <c r="A37" s="22"/>
      <c r="B37" s="22"/>
      <c r="C37" s="22"/>
      <c r="D37" s="5" t="s">
        <v>28</v>
      </c>
      <c r="E37" s="4" t="s">
        <v>17</v>
      </c>
      <c r="F37" s="4" t="s">
        <v>32</v>
      </c>
      <c r="G37" s="6">
        <v>20</v>
      </c>
      <c r="H37" s="9">
        <v>2.2394388055783254E-2</v>
      </c>
      <c r="I37" s="10">
        <v>2.7736183256020772E-2</v>
      </c>
      <c r="J37" s="11">
        <v>2.5811771692308465E-2</v>
      </c>
      <c r="K37" s="11">
        <v>2.4658559959141357E-2</v>
      </c>
      <c r="L37" s="11">
        <v>2.5509141672009145E-2</v>
      </c>
      <c r="M37" s="11">
        <v>2.4065288300967401E-2</v>
      </c>
      <c r="N37" s="11">
        <v>2.5238910276963587E-2</v>
      </c>
      <c r="O37" s="11">
        <v>2.3671820516082256E-2</v>
      </c>
      <c r="P37" s="11">
        <v>2.4977053691084886E-2</v>
      </c>
      <c r="Q37" s="11">
        <v>2.4225603268910826E-2</v>
      </c>
      <c r="R37" s="11">
        <v>2.469153615505747E-2</v>
      </c>
      <c r="S37" s="11">
        <v>2.4368600273665629E-2</v>
      </c>
      <c r="T37" s="11">
        <v>2.426877414698362E-2</v>
      </c>
      <c r="U37" s="11">
        <v>2.5089332761297333E-2</v>
      </c>
      <c r="V37" s="11">
        <v>2.4140029768126701E-2</v>
      </c>
    </row>
    <row r="38" spans="1:22" x14ac:dyDescent="0.2">
      <c r="A38" s="22"/>
      <c r="B38" s="22"/>
      <c r="C38" s="22"/>
      <c r="D38" s="17" t="s">
        <v>29</v>
      </c>
      <c r="E38" s="4" t="s">
        <v>42</v>
      </c>
      <c r="F38" s="4" t="s">
        <v>31</v>
      </c>
      <c r="G38" s="6">
        <v>25</v>
      </c>
      <c r="H38" s="7">
        <v>65512.247850295644</v>
      </c>
      <c r="I38" s="8">
        <v>3054.7878207399999</v>
      </c>
      <c r="J38" s="8">
        <v>3945.6093664088262</v>
      </c>
      <c r="K38" s="8">
        <v>20985.136038690001</v>
      </c>
      <c r="L38" s="8">
        <v>8088.4992011380937</v>
      </c>
      <c r="M38" s="8">
        <v>23571.93086412</v>
      </c>
      <c r="N38" s="8">
        <v>12494.429660294621</v>
      </c>
      <c r="O38" s="8">
        <v>26768.059574049999</v>
      </c>
      <c r="P38" s="8">
        <v>17688.306919579827</v>
      </c>
      <c r="Q38" s="8">
        <v>30966.294813249999</v>
      </c>
      <c r="R38" s="8">
        <v>23715.433721807003</v>
      </c>
      <c r="S38" s="8">
        <v>33713.64630185</v>
      </c>
      <c r="T38" s="8">
        <v>30266.658506836575</v>
      </c>
      <c r="U38" s="8">
        <v>39279.205349020005</v>
      </c>
      <c r="V38" s="8">
        <v>36162.760813363195</v>
      </c>
    </row>
    <row r="39" spans="1:22" x14ac:dyDescent="0.2">
      <c r="A39" s="22"/>
      <c r="B39" s="22"/>
      <c r="C39" s="22"/>
      <c r="D39" s="17"/>
      <c r="E39" s="4" t="s">
        <v>43</v>
      </c>
      <c r="F39" s="4" t="s">
        <v>31</v>
      </c>
      <c r="G39" s="6">
        <v>10</v>
      </c>
      <c r="H39" s="7">
        <v>11568.42851441108</v>
      </c>
      <c r="I39" s="8">
        <v>526.50002500000005</v>
      </c>
      <c r="J39" s="8">
        <v>598.8950860044996</v>
      </c>
      <c r="K39" s="8">
        <v>658.96014100000002</v>
      </c>
      <c r="L39" s="8">
        <v>1377.4586978103498</v>
      </c>
      <c r="M39" s="8">
        <v>1040.592631</v>
      </c>
      <c r="N39" s="8">
        <v>2024.4749900219385</v>
      </c>
      <c r="O39" s="8">
        <v>1537.0999420000001</v>
      </c>
      <c r="P39" s="8">
        <v>2776.422843458658</v>
      </c>
      <c r="Q39" s="8">
        <v>2967.6162330000002</v>
      </c>
      <c r="R39" s="8">
        <v>3586.2128394674337</v>
      </c>
      <c r="S39" s="8">
        <v>3209.0912069999999</v>
      </c>
      <c r="T39" s="8">
        <v>4511.6871206203195</v>
      </c>
      <c r="U39" s="8">
        <v>3441.4712050000003</v>
      </c>
      <c r="V39" s="8">
        <v>5495.0035443452689</v>
      </c>
    </row>
    <row r="40" spans="1:22" x14ac:dyDescent="0.2">
      <c r="A40" s="22"/>
      <c r="B40" s="22"/>
      <c r="C40" s="22"/>
      <c r="D40" s="17"/>
      <c r="E40" s="4" t="s">
        <v>44</v>
      </c>
      <c r="F40" s="4" t="s">
        <v>31</v>
      </c>
      <c r="G40" s="6">
        <v>5</v>
      </c>
      <c r="H40" s="7">
        <v>27257.634145521166</v>
      </c>
      <c r="I40" s="8">
        <v>0</v>
      </c>
      <c r="J40" s="8">
        <v>1670.379777016891</v>
      </c>
      <c r="K40" s="8">
        <v>0</v>
      </c>
      <c r="L40" s="8">
        <v>3442.5778633907112</v>
      </c>
      <c r="M40" s="8">
        <v>401.59976400000005</v>
      </c>
      <c r="N40" s="8">
        <v>5598.505186693862</v>
      </c>
      <c r="O40" s="8">
        <v>603.47899200000006</v>
      </c>
      <c r="P40" s="8">
        <v>7485.5426686532555</v>
      </c>
      <c r="Q40" s="8">
        <v>1912.1094619999999</v>
      </c>
      <c r="R40" s="8">
        <v>9519.3667754537964</v>
      </c>
      <c r="S40" s="8">
        <v>2907.8492190000002</v>
      </c>
      <c r="T40" s="8">
        <v>11762.968231776762</v>
      </c>
      <c r="U40" s="8">
        <v>4678.6095310000001</v>
      </c>
      <c r="V40" s="8">
        <v>14153.356312940881</v>
      </c>
    </row>
    <row r="41" spans="1:22" x14ac:dyDescent="0.2">
      <c r="A41" s="22"/>
      <c r="B41" s="22"/>
      <c r="C41" s="22"/>
      <c r="D41" s="17"/>
      <c r="E41" s="4" t="s">
        <v>45</v>
      </c>
      <c r="F41" s="4" t="s">
        <v>31</v>
      </c>
      <c r="G41" s="6">
        <v>5</v>
      </c>
      <c r="H41" s="7">
        <v>33538.566385279082</v>
      </c>
      <c r="I41" s="8">
        <v>187.84215799999998</v>
      </c>
      <c r="J41" s="8">
        <v>438.47995008088407</v>
      </c>
      <c r="K41" s="8">
        <v>16931.626647160003</v>
      </c>
      <c r="L41" s="8">
        <v>1096.1998752022103</v>
      </c>
      <c r="M41" s="8">
        <v>18135.452413160001</v>
      </c>
      <c r="N41" s="8">
        <v>5943.1595862948425</v>
      </c>
      <c r="O41" s="8">
        <v>25047.705827190002</v>
      </c>
      <c r="P41" s="8">
        <v>7139.2637683503044</v>
      </c>
      <c r="Q41" s="8">
        <v>25569.925855190002</v>
      </c>
      <c r="R41" s="8">
        <v>8574.5887868168593</v>
      </c>
      <c r="S41" s="8">
        <v>26651.624541189998</v>
      </c>
      <c r="T41" s="8">
        <v>13753.194682350737</v>
      </c>
      <c r="U41" s="8">
        <v>27032.802040189996</v>
      </c>
      <c r="V41" s="8">
        <v>15427.740537228394</v>
      </c>
    </row>
    <row r="42" spans="1:22" x14ac:dyDescent="0.2">
      <c r="A42" s="22"/>
      <c r="B42" s="22"/>
      <c r="C42" s="22"/>
      <c r="D42" s="17"/>
      <c r="E42" s="4" t="s">
        <v>24</v>
      </c>
      <c r="F42" s="4" t="s">
        <v>32</v>
      </c>
      <c r="G42" s="6">
        <v>5</v>
      </c>
      <c r="H42" s="12">
        <v>1</v>
      </c>
      <c r="I42" s="13">
        <v>1</v>
      </c>
      <c r="J42" s="14">
        <v>1</v>
      </c>
      <c r="K42" s="13">
        <v>1</v>
      </c>
      <c r="L42" s="13">
        <v>1</v>
      </c>
      <c r="M42" s="13">
        <v>1</v>
      </c>
      <c r="N42" s="13">
        <v>1</v>
      </c>
      <c r="O42" s="13">
        <v>1</v>
      </c>
      <c r="P42" s="13">
        <v>1</v>
      </c>
      <c r="Q42" s="13">
        <v>1</v>
      </c>
      <c r="R42" s="13">
        <v>1</v>
      </c>
      <c r="S42" s="13">
        <v>1</v>
      </c>
      <c r="T42" s="13">
        <v>1</v>
      </c>
      <c r="U42" s="13">
        <v>1</v>
      </c>
      <c r="V42" s="13">
        <v>1</v>
      </c>
    </row>
    <row r="43" spans="1:22" x14ac:dyDescent="0.2">
      <c r="A43" s="22"/>
      <c r="B43" s="22"/>
      <c r="C43" s="22"/>
      <c r="D43" s="17" t="s">
        <v>30</v>
      </c>
      <c r="E43" s="4" t="s">
        <v>25</v>
      </c>
      <c r="F43" s="4" t="s">
        <v>33</v>
      </c>
      <c r="G43" s="6">
        <v>5</v>
      </c>
      <c r="H43" s="6" t="s">
        <v>37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x14ac:dyDescent="0.2">
      <c r="A44" s="22"/>
      <c r="B44" s="22"/>
      <c r="C44" s="22"/>
      <c r="D44" s="17"/>
      <c r="E44" s="4" t="s">
        <v>26</v>
      </c>
      <c r="F44" s="4" t="s">
        <v>33</v>
      </c>
      <c r="G44" s="6">
        <v>5</v>
      </c>
      <c r="H44" s="6" t="s">
        <v>38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x14ac:dyDescent="0.2">
      <c r="A45" s="4"/>
      <c r="B45" s="4"/>
      <c r="C45" s="4"/>
      <c r="D45" s="6"/>
      <c r="E45" s="4"/>
      <c r="F45" s="4"/>
      <c r="G45" s="6"/>
      <c r="H45" s="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ht="16" x14ac:dyDescent="0.2">
      <c r="A46" s="21" t="s">
        <v>48</v>
      </c>
      <c r="B46" s="21" t="s">
        <v>63</v>
      </c>
      <c r="C46" s="21" t="s">
        <v>64</v>
      </c>
      <c r="D46" s="5" t="s">
        <v>27</v>
      </c>
      <c r="E46" s="4" t="s">
        <v>41</v>
      </c>
      <c r="F46" s="4" t="s">
        <v>31</v>
      </c>
      <c r="G46" s="6">
        <v>15</v>
      </c>
      <c r="H46" s="7">
        <v>13394.384425388087</v>
      </c>
      <c r="I46" s="8">
        <v>424.19897499999996</v>
      </c>
      <c r="J46" s="8">
        <v>803.66306552328547</v>
      </c>
      <c r="K46" s="8">
        <v>5141.6803439999994</v>
      </c>
      <c r="L46" s="8">
        <v>1647.509284322736</v>
      </c>
      <c r="M46" s="8">
        <v>6360.1531790000008</v>
      </c>
      <c r="N46" s="8">
        <v>2544.9330408237392</v>
      </c>
      <c r="O46" s="8">
        <v>7159.2783799999997</v>
      </c>
      <c r="P46" s="8">
        <v>3616.4837948547847</v>
      </c>
      <c r="Q46" s="8">
        <v>9148.8412950000002</v>
      </c>
      <c r="R46" s="8">
        <v>4848.7671619904886</v>
      </c>
      <c r="S46" s="8">
        <v>10628.734863</v>
      </c>
      <c r="T46" s="8">
        <v>6188.205604529292</v>
      </c>
      <c r="U46" s="8">
        <v>11660.625869999998</v>
      </c>
      <c r="V46" s="8">
        <v>7393.7002028142279</v>
      </c>
    </row>
    <row r="47" spans="1:22" ht="16" x14ac:dyDescent="0.2">
      <c r="A47" s="22"/>
      <c r="B47" s="22"/>
      <c r="C47" s="22"/>
      <c r="D47" s="5" t="s">
        <v>28</v>
      </c>
      <c r="E47" s="4" t="s">
        <v>17</v>
      </c>
      <c r="F47" s="4" t="s">
        <v>32</v>
      </c>
      <c r="G47" s="6">
        <v>20</v>
      </c>
      <c r="H47" s="9">
        <v>1.0120387658108743E-2</v>
      </c>
      <c r="I47" s="10">
        <v>1.2962455410276382E-2</v>
      </c>
      <c r="J47" s="11">
        <v>1.0974618291492598E-2</v>
      </c>
      <c r="K47" s="11">
        <v>1.2424432675059733E-3</v>
      </c>
      <c r="L47" s="11">
        <v>1.0859120056082017E-3</v>
      </c>
      <c r="M47" s="11">
        <v>9.6066195446805856E-3</v>
      </c>
      <c r="N47" s="11">
        <v>1.0847775971606511E-2</v>
      </c>
      <c r="O47" s="11">
        <v>8.8252204414109459E-3</v>
      </c>
      <c r="P47" s="11">
        <v>1.0770497249847698E-2</v>
      </c>
      <c r="Q47" s="11">
        <v>1.1434684540367336E-2</v>
      </c>
      <c r="R47" s="11">
        <v>1.0687200505387066E-2</v>
      </c>
      <c r="S47" s="11">
        <v>1.1453457680901967E-2</v>
      </c>
      <c r="T47" s="11">
        <v>1.0584382300544726E-2</v>
      </c>
      <c r="U47" s="11">
        <v>1.2672257129607321E-2</v>
      </c>
      <c r="V47" s="11">
        <v>1.0567646741765857E-2</v>
      </c>
    </row>
    <row r="48" spans="1:22" x14ac:dyDescent="0.2">
      <c r="A48" s="22"/>
      <c r="B48" s="22"/>
      <c r="C48" s="22"/>
      <c r="D48" s="17" t="s">
        <v>29</v>
      </c>
      <c r="E48" s="4" t="s">
        <v>42</v>
      </c>
      <c r="F48" s="4" t="s">
        <v>31</v>
      </c>
      <c r="G48" s="6">
        <v>25</v>
      </c>
      <c r="H48" s="7">
        <v>30309.607397655378</v>
      </c>
      <c r="I48" s="8">
        <v>3627.3307695399999</v>
      </c>
      <c r="J48" s="8">
        <v>1849.7200175904134</v>
      </c>
      <c r="K48" s="8">
        <v>13136.51645854</v>
      </c>
      <c r="L48" s="8">
        <v>3791.9260360603434</v>
      </c>
      <c r="M48" s="8">
        <v>14765.533737540001</v>
      </c>
      <c r="N48" s="8">
        <v>5857.4467223696402</v>
      </c>
      <c r="O48" s="8">
        <v>16486.39718267</v>
      </c>
      <c r="P48" s="8">
        <v>8183.5939973669474</v>
      </c>
      <c r="Q48" s="8">
        <v>17984.158560400003</v>
      </c>
      <c r="R48" s="8">
        <v>10972.077877951248</v>
      </c>
      <c r="S48" s="8">
        <v>20606.702337660001</v>
      </c>
      <c r="T48" s="8">
        <v>14003.038617716787</v>
      </c>
      <c r="U48" s="8">
        <v>23369.578244720004</v>
      </c>
      <c r="V48" s="8">
        <v>16730.903283505762</v>
      </c>
    </row>
    <row r="49" spans="1:22" x14ac:dyDescent="0.2">
      <c r="A49" s="22"/>
      <c r="B49" s="22"/>
      <c r="C49" s="22"/>
      <c r="D49" s="17"/>
      <c r="E49" s="4" t="s">
        <v>43</v>
      </c>
      <c r="F49" s="4" t="s">
        <v>31</v>
      </c>
      <c r="G49" s="6">
        <v>10</v>
      </c>
      <c r="H49" s="7">
        <v>4639.7345099723952</v>
      </c>
      <c r="I49" s="8">
        <v>105.51</v>
      </c>
      <c r="J49" s="8">
        <v>230.80659664715867</v>
      </c>
      <c r="K49" s="8">
        <v>1271.5978379999999</v>
      </c>
      <c r="L49" s="8">
        <v>530.85517228846504</v>
      </c>
      <c r="M49" s="8">
        <v>1334.3278780000001</v>
      </c>
      <c r="N49" s="8">
        <v>811.95353924516985</v>
      </c>
      <c r="O49" s="8">
        <v>1363.5280460000001</v>
      </c>
      <c r="P49" s="8">
        <v>1113.5362823933754</v>
      </c>
      <c r="Q49" s="8">
        <v>1598.7455460000001</v>
      </c>
      <c r="R49" s="8">
        <v>1438.3176980914416</v>
      </c>
      <c r="S49" s="8">
        <v>2283.3787079999997</v>
      </c>
      <c r="T49" s="8">
        <v>1809.4964588892344</v>
      </c>
      <c r="U49" s="8">
        <v>2665.5731090000004</v>
      </c>
      <c r="V49" s="8">
        <v>2203.8738922368884</v>
      </c>
    </row>
    <row r="50" spans="1:22" x14ac:dyDescent="0.2">
      <c r="A50" s="22"/>
      <c r="B50" s="22"/>
      <c r="C50" s="22"/>
      <c r="D50" s="17"/>
      <c r="E50" s="4" t="s">
        <v>44</v>
      </c>
      <c r="F50" s="4" t="s">
        <v>31</v>
      </c>
      <c r="G50" s="6">
        <v>10</v>
      </c>
      <c r="H50" s="7">
        <v>22005.190626173833</v>
      </c>
      <c r="I50" s="8">
        <v>149.07357399999998</v>
      </c>
      <c r="J50" s="8">
        <v>1398.203201032582</v>
      </c>
      <c r="K50" s="8">
        <v>2651.1596169999998</v>
      </c>
      <c r="L50" s="8">
        <v>2893.8618715056182</v>
      </c>
      <c r="M50" s="8">
        <v>13667.449635999999</v>
      </c>
      <c r="N50" s="8">
        <v>4476.871920734895</v>
      </c>
      <c r="O50" s="8">
        <v>19279.587223999999</v>
      </c>
      <c r="P50" s="8">
        <v>6006.4018652099048</v>
      </c>
      <c r="Q50" s="8">
        <v>26707.536235999996</v>
      </c>
      <c r="R50" s="8">
        <v>7651.3744624943602</v>
      </c>
      <c r="S50" s="8">
        <v>31079.338828580003</v>
      </c>
      <c r="T50" s="8">
        <v>9444.2899106597397</v>
      </c>
      <c r="U50" s="8">
        <v>37131.938009580001</v>
      </c>
      <c r="V50" s="8">
        <v>11352.648011634601</v>
      </c>
    </row>
    <row r="51" spans="1:22" x14ac:dyDescent="0.2">
      <c r="A51" s="22"/>
      <c r="B51" s="22"/>
      <c r="C51" s="22"/>
      <c r="D51" s="17"/>
      <c r="E51" s="4" t="s">
        <v>45</v>
      </c>
      <c r="F51" s="4" t="s">
        <v>31</v>
      </c>
      <c r="G51" s="6">
        <v>5</v>
      </c>
      <c r="H51" s="7">
        <v>14196.639213457027</v>
      </c>
      <c r="I51" s="8">
        <v>692.13023499999997</v>
      </c>
      <c r="J51" s="8">
        <v>267.00757450478022</v>
      </c>
      <c r="K51" s="8">
        <v>19552.06505886</v>
      </c>
      <c r="L51" s="8">
        <v>667.51893626195078</v>
      </c>
      <c r="M51" s="8">
        <v>19996.14324786</v>
      </c>
      <c r="N51" s="8">
        <v>2337.6411094878763</v>
      </c>
      <c r="O51" s="8">
        <v>27833.858554439998</v>
      </c>
      <c r="P51" s="8">
        <v>2992.3240407151002</v>
      </c>
      <c r="Q51" s="8">
        <v>28745.842692440005</v>
      </c>
      <c r="R51" s="8">
        <v>3777.9435581877724</v>
      </c>
      <c r="S51" s="8">
        <v>29136.478270439999</v>
      </c>
      <c r="T51" s="8">
        <v>5613.8979344721174</v>
      </c>
      <c r="U51" s="8">
        <v>29167.990064439997</v>
      </c>
      <c r="V51" s="8">
        <v>6530.4540381902361</v>
      </c>
    </row>
    <row r="52" spans="1:22" x14ac:dyDescent="0.2">
      <c r="A52" s="22"/>
      <c r="B52" s="22"/>
      <c r="C52" s="22"/>
      <c r="D52" s="17"/>
      <c r="E52" s="4" t="s">
        <v>24</v>
      </c>
      <c r="F52" s="4" t="s">
        <v>32</v>
      </c>
      <c r="G52" s="6">
        <v>5</v>
      </c>
      <c r="H52" s="12">
        <v>1</v>
      </c>
      <c r="I52" s="13">
        <v>1</v>
      </c>
      <c r="J52" s="14">
        <v>1</v>
      </c>
      <c r="K52" s="13">
        <v>1</v>
      </c>
      <c r="L52" s="13">
        <v>1</v>
      </c>
      <c r="M52" s="13">
        <v>1</v>
      </c>
      <c r="N52" s="13">
        <v>1</v>
      </c>
      <c r="O52" s="13">
        <v>1</v>
      </c>
      <c r="P52" s="13">
        <v>1</v>
      </c>
      <c r="Q52" s="13">
        <v>1</v>
      </c>
      <c r="R52" s="13">
        <v>1</v>
      </c>
      <c r="S52" s="13">
        <v>1</v>
      </c>
      <c r="T52" s="13">
        <v>1</v>
      </c>
      <c r="U52" s="13">
        <v>1</v>
      </c>
      <c r="V52" s="13">
        <v>1</v>
      </c>
    </row>
    <row r="53" spans="1:22" x14ac:dyDescent="0.2">
      <c r="A53" s="22"/>
      <c r="B53" s="22"/>
      <c r="C53" s="22"/>
      <c r="D53" s="17" t="s">
        <v>30</v>
      </c>
      <c r="E53" s="4" t="s">
        <v>25</v>
      </c>
      <c r="F53" s="4" t="s">
        <v>33</v>
      </c>
      <c r="G53" s="6">
        <v>5</v>
      </c>
      <c r="H53" s="6" t="s">
        <v>37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 x14ac:dyDescent="0.2">
      <c r="A54" s="22"/>
      <c r="B54" s="22"/>
      <c r="C54" s="22"/>
      <c r="D54" s="17"/>
      <c r="E54" s="4" t="s">
        <v>26</v>
      </c>
      <c r="F54" s="4" t="s">
        <v>33</v>
      </c>
      <c r="G54" s="6">
        <v>5</v>
      </c>
      <c r="H54" s="6" t="s">
        <v>38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x14ac:dyDescent="0.2">
      <c r="A55" s="4"/>
      <c r="B55" s="4"/>
      <c r="C55" s="4"/>
      <c r="D55" s="6"/>
      <c r="E55" s="4"/>
      <c r="F55" s="4"/>
      <c r="G55" s="6"/>
      <c r="H55" s="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 x14ac:dyDescent="0.2">
      <c r="A56" s="21" t="s">
        <v>49</v>
      </c>
      <c r="B56" s="21" t="s">
        <v>65</v>
      </c>
      <c r="C56" s="21" t="s">
        <v>66</v>
      </c>
      <c r="D56" s="6" t="s">
        <v>28</v>
      </c>
      <c r="E56" s="4" t="s">
        <v>17</v>
      </c>
      <c r="F56" s="4" t="s">
        <v>32</v>
      </c>
      <c r="G56" s="6">
        <v>10</v>
      </c>
      <c r="H56" s="15">
        <v>2.7699999999999999E-2</v>
      </c>
      <c r="I56" s="10">
        <v>3.2243357840386844E-2</v>
      </c>
      <c r="J56" s="11">
        <v>2.5017060654481914E-2</v>
      </c>
      <c r="K56" s="11">
        <v>3.178850011703549E-2</v>
      </c>
      <c r="L56" s="11">
        <v>2.4725708023023693E-2</v>
      </c>
      <c r="M56" s="11">
        <v>3.0275919084953955E-2</v>
      </c>
      <c r="N56" s="11">
        <v>3.0417165937076926E-2</v>
      </c>
      <c r="O56" s="11">
        <v>2.9775762416560551E-2</v>
      </c>
      <c r="P56" s="11">
        <v>3.0148793588342989E-2</v>
      </c>
      <c r="Q56" s="11">
        <v>3.0538835090616612E-2</v>
      </c>
      <c r="R56" s="11">
        <v>2.9856155821091201E-2</v>
      </c>
      <c r="S56" s="11">
        <v>3.0521967587602193E-2</v>
      </c>
      <c r="T56" s="11">
        <v>2.9473211588856442E-2</v>
      </c>
      <c r="U56" s="11">
        <v>3.1317718510632961E-2</v>
      </c>
      <c r="V56" s="11">
        <v>2.9377893350241151E-2</v>
      </c>
    </row>
    <row r="57" spans="1:22" x14ac:dyDescent="0.2">
      <c r="A57" s="22"/>
      <c r="B57" s="22"/>
      <c r="C57" s="22"/>
      <c r="D57" s="18" t="s">
        <v>29</v>
      </c>
      <c r="E57" s="4" t="s">
        <v>44</v>
      </c>
      <c r="F57" s="4" t="s">
        <v>31</v>
      </c>
      <c r="G57" s="6">
        <v>20</v>
      </c>
      <c r="H57" s="7">
        <v>90243.000000000029</v>
      </c>
      <c r="I57" s="8">
        <v>758.01248199999998</v>
      </c>
      <c r="J57" s="8">
        <v>7084.5</v>
      </c>
      <c r="K57" s="8">
        <v>5083.4480389999999</v>
      </c>
      <c r="L57" s="8">
        <v>7153.5</v>
      </c>
      <c r="M57" s="8">
        <v>5181.2910960000008</v>
      </c>
      <c r="N57" s="8">
        <v>7407.5</v>
      </c>
      <c r="O57" s="8">
        <v>8068.6266569399995</v>
      </c>
      <c r="P57" s="8">
        <v>7193.5</v>
      </c>
      <c r="Q57" s="8">
        <v>9285.0822470000003</v>
      </c>
      <c r="R57" s="8">
        <v>7319.5</v>
      </c>
      <c r="S57" s="8">
        <v>7141.3895720300006</v>
      </c>
      <c r="T57" s="8">
        <v>7533.5</v>
      </c>
      <c r="U57" s="8">
        <v>12894.253441000001</v>
      </c>
      <c r="V57" s="8">
        <v>7659.5</v>
      </c>
    </row>
    <row r="58" spans="1:22" x14ac:dyDescent="0.2">
      <c r="A58" s="22"/>
      <c r="B58" s="22"/>
      <c r="C58" s="22"/>
      <c r="D58" s="18"/>
      <c r="E58" s="4" t="s">
        <v>43</v>
      </c>
      <c r="F58" s="4" t="s">
        <v>31</v>
      </c>
      <c r="G58" s="6">
        <v>20</v>
      </c>
      <c r="H58" s="7">
        <v>42774.000000000029</v>
      </c>
      <c r="I58" s="8">
        <v>3666.7979519999999</v>
      </c>
      <c r="J58" s="8">
        <v>3564.5833333333339</v>
      </c>
      <c r="K58" s="8">
        <v>2239.433074</v>
      </c>
      <c r="L58" s="8">
        <v>4267.0833333333321</v>
      </c>
      <c r="M58" s="8">
        <v>1489.3976789999999</v>
      </c>
      <c r="N58" s="8">
        <v>2862.083333333333</v>
      </c>
      <c r="O58" s="8">
        <v>2641.0388189999999</v>
      </c>
      <c r="P58" s="8">
        <v>3564.5833333333439</v>
      </c>
      <c r="Q58" s="8">
        <v>2765.0845169999998</v>
      </c>
      <c r="R58" s="8">
        <v>3564.5833333333121</v>
      </c>
      <c r="S58" s="8">
        <v>2962.5070249999999</v>
      </c>
      <c r="T58" s="8">
        <v>3564.5833333333439</v>
      </c>
      <c r="U58" s="8">
        <v>6969.8563949999998</v>
      </c>
      <c r="V58" s="8">
        <v>3564.5833333333421</v>
      </c>
    </row>
    <row r="59" spans="1:22" x14ac:dyDescent="0.2">
      <c r="A59" s="22"/>
      <c r="B59" s="22"/>
      <c r="C59" s="22"/>
      <c r="D59" s="18"/>
      <c r="E59" s="4" t="s">
        <v>50</v>
      </c>
      <c r="F59" s="4" t="s">
        <v>52</v>
      </c>
      <c r="G59" s="6">
        <v>20</v>
      </c>
      <c r="H59" s="7">
        <v>72</v>
      </c>
      <c r="I59" s="8">
        <v>12</v>
      </c>
      <c r="J59" s="8">
        <v>5</v>
      </c>
      <c r="K59" s="8">
        <v>5</v>
      </c>
      <c r="L59" s="8">
        <v>5</v>
      </c>
      <c r="M59" s="8">
        <v>7</v>
      </c>
      <c r="N59" s="8">
        <v>5</v>
      </c>
      <c r="O59" s="8">
        <v>5</v>
      </c>
      <c r="P59" s="8">
        <v>5</v>
      </c>
      <c r="Q59" s="8">
        <v>11</v>
      </c>
      <c r="R59" s="8">
        <v>5</v>
      </c>
      <c r="S59" s="8">
        <v>9</v>
      </c>
      <c r="T59" s="8">
        <v>5</v>
      </c>
      <c r="U59" s="8">
        <v>6</v>
      </c>
      <c r="V59" s="8">
        <v>5</v>
      </c>
    </row>
    <row r="60" spans="1:22" x14ac:dyDescent="0.2">
      <c r="A60" s="22"/>
      <c r="B60" s="22"/>
      <c r="C60" s="22"/>
      <c r="D60" s="18"/>
      <c r="E60" s="4" t="s">
        <v>21</v>
      </c>
      <c r="F60" s="4" t="s">
        <v>32</v>
      </c>
      <c r="G60" s="6">
        <v>10</v>
      </c>
      <c r="H60" s="6" t="s">
        <v>34</v>
      </c>
      <c r="I60" s="13">
        <v>1</v>
      </c>
      <c r="J60" s="14">
        <v>0.95</v>
      </c>
      <c r="K60" s="13">
        <v>1</v>
      </c>
      <c r="L60" s="13">
        <v>0.95</v>
      </c>
      <c r="M60" s="13">
        <v>1</v>
      </c>
      <c r="N60" s="13">
        <v>0.95</v>
      </c>
      <c r="O60" s="13">
        <v>1</v>
      </c>
      <c r="P60" s="13">
        <v>0.95</v>
      </c>
      <c r="Q60" s="13">
        <v>1</v>
      </c>
      <c r="R60" s="13">
        <v>0.95</v>
      </c>
      <c r="S60" s="13">
        <v>0.79895749978333497</v>
      </c>
      <c r="T60" s="13">
        <v>0.95</v>
      </c>
      <c r="U60" s="13">
        <v>1</v>
      </c>
      <c r="V60" s="13">
        <v>0.95</v>
      </c>
    </row>
    <row r="61" spans="1:22" x14ac:dyDescent="0.2">
      <c r="A61" s="22"/>
      <c r="B61" s="22"/>
      <c r="C61" s="22"/>
      <c r="D61" s="18"/>
      <c r="E61" s="4" t="s">
        <v>51</v>
      </c>
      <c r="F61" s="4" t="s">
        <v>32</v>
      </c>
      <c r="G61" s="6">
        <v>5</v>
      </c>
      <c r="H61" s="6" t="s">
        <v>36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1:22" x14ac:dyDescent="0.2">
      <c r="A62" s="22"/>
      <c r="B62" s="22"/>
      <c r="C62" s="22"/>
      <c r="D62" s="18"/>
      <c r="E62" s="4" t="s">
        <v>24</v>
      </c>
      <c r="F62" s="4" t="s">
        <v>32</v>
      </c>
      <c r="G62" s="6">
        <v>5</v>
      </c>
      <c r="H62" s="16">
        <v>1</v>
      </c>
      <c r="I62" s="13">
        <v>1</v>
      </c>
      <c r="J62" s="14">
        <v>1</v>
      </c>
      <c r="K62" s="13">
        <v>1</v>
      </c>
      <c r="L62" s="13">
        <v>1</v>
      </c>
      <c r="M62" s="13">
        <v>1</v>
      </c>
      <c r="N62" s="13">
        <v>1</v>
      </c>
      <c r="O62" s="13">
        <v>1</v>
      </c>
      <c r="P62" s="13">
        <v>1</v>
      </c>
      <c r="Q62" s="13">
        <v>1</v>
      </c>
      <c r="R62" s="13">
        <v>1</v>
      </c>
      <c r="S62" s="13">
        <v>1</v>
      </c>
      <c r="T62" s="13">
        <v>1</v>
      </c>
      <c r="U62" s="13">
        <v>1</v>
      </c>
      <c r="V62" s="13">
        <v>1</v>
      </c>
    </row>
    <row r="63" spans="1:22" x14ac:dyDescent="0.2">
      <c r="A63" s="22"/>
      <c r="B63" s="22"/>
      <c r="C63" s="22"/>
      <c r="D63" s="17" t="s">
        <v>30</v>
      </c>
      <c r="E63" s="4" t="s">
        <v>25</v>
      </c>
      <c r="F63" s="4" t="s">
        <v>33</v>
      </c>
      <c r="G63" s="6">
        <v>5</v>
      </c>
      <c r="H63" s="6" t="s">
        <v>37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1:22" x14ac:dyDescent="0.2">
      <c r="A64" s="22"/>
      <c r="B64" s="22"/>
      <c r="C64" s="22"/>
      <c r="D64" s="17"/>
      <c r="E64" s="4" t="s">
        <v>26</v>
      </c>
      <c r="F64" s="4" t="s">
        <v>33</v>
      </c>
      <c r="G64" s="6">
        <v>5</v>
      </c>
      <c r="H64" s="6" t="s">
        <v>38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</sheetData>
  <mergeCells count="46">
    <mergeCell ref="B4:B14"/>
    <mergeCell ref="C4:C14"/>
    <mergeCell ref="B36:B44"/>
    <mergeCell ref="C36:C44"/>
    <mergeCell ref="B26:B34"/>
    <mergeCell ref="C26:C34"/>
    <mergeCell ref="B16:B24"/>
    <mergeCell ref="C16:C24"/>
    <mergeCell ref="A56:A64"/>
    <mergeCell ref="B56:B64"/>
    <mergeCell ref="B46:B54"/>
    <mergeCell ref="C46:C54"/>
    <mergeCell ref="C56:C64"/>
    <mergeCell ref="A4:A14"/>
    <mergeCell ref="A16:A24"/>
    <mergeCell ref="A26:A34"/>
    <mergeCell ref="A36:A44"/>
    <mergeCell ref="A46:A54"/>
    <mergeCell ref="A1:E1"/>
    <mergeCell ref="A2:A3"/>
    <mergeCell ref="D2:D3"/>
    <mergeCell ref="E2:E3"/>
    <mergeCell ref="F2:F3"/>
    <mergeCell ref="B2:B3"/>
    <mergeCell ref="C2:C3"/>
    <mergeCell ref="U2:V2"/>
    <mergeCell ref="D6:D12"/>
    <mergeCell ref="Q2:R2"/>
    <mergeCell ref="S2:T2"/>
    <mergeCell ref="D13:D14"/>
    <mergeCell ref="I2:J2"/>
    <mergeCell ref="K2:L2"/>
    <mergeCell ref="M2:N2"/>
    <mergeCell ref="O2:P2"/>
    <mergeCell ref="H2:H3"/>
    <mergeCell ref="G2:G3"/>
    <mergeCell ref="D48:D52"/>
    <mergeCell ref="D53:D54"/>
    <mergeCell ref="D57:D62"/>
    <mergeCell ref="D63:D64"/>
    <mergeCell ref="D18:D22"/>
    <mergeCell ref="D23:D24"/>
    <mergeCell ref="D28:D32"/>
    <mergeCell ref="D33:D34"/>
    <mergeCell ref="D38:D42"/>
    <mergeCell ref="D43:D4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Rinaldi  Dani</cp:lastModifiedBy>
  <dcterms:created xsi:type="dcterms:W3CDTF">2026-08-14T01:53:43Z</dcterms:created>
  <dcterms:modified xsi:type="dcterms:W3CDTF">2026-08-16T06:06:40Z</dcterms:modified>
</cp:coreProperties>
</file>